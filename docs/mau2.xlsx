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JECT\nhacviecfcm\docs\"/>
    </mc:Choice>
  </mc:AlternateContent>
  <xr:revisionPtr revIDLastSave="0" documentId="8_{55F1E9B1-98FD-43CB-ACB5-51D0FFA51E9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ẫu nhập liệu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B10" i="4"/>
  <c r="B11" i="4"/>
  <c r="B8" i="4"/>
  <c r="AB11" i="4"/>
  <c r="AD11" i="4" l="1"/>
  <c r="AE11" i="4" s="1"/>
  <c r="AG11" i="4" l="1"/>
  <c r="AH11" i="4" s="1"/>
  <c r="AB9" i="4"/>
  <c r="AD9" i="4" s="1"/>
  <c r="AB8" i="4"/>
  <c r="AD8" i="4" s="1"/>
  <c r="AE9" i="4" l="1"/>
  <c r="AG9" i="4" s="1"/>
  <c r="AE8" i="4"/>
  <c r="AG8" i="4" s="1"/>
  <c r="AH9" i="4" l="1"/>
  <c r="AH8" i="4"/>
  <c r="AB10" i="4"/>
  <c r="AD10" i="4" l="1"/>
  <c r="AE10" i="4" s="1"/>
  <c r="AG10" i="4" l="1"/>
  <c r="AH10" i="4" s="1"/>
</calcChain>
</file>

<file path=xl/sharedStrings.xml><?xml version="1.0" encoding="utf-8"?>
<sst xmlns="http://schemas.openxmlformats.org/spreadsheetml/2006/main" count="164" uniqueCount="129">
  <si>
    <t>VND</t>
  </si>
  <si>
    <t>Lam</t>
  </si>
  <si>
    <t>Don vi ABC</t>
  </si>
  <si>
    <t>12 BC</t>
  </si>
  <si>
    <t>Vietcombank</t>
  </si>
  <si>
    <t>Ten mien .com</t>
  </si>
  <si>
    <t>TM11</t>
  </si>
  <si>
    <t>Cái</t>
  </si>
  <si>
    <t>Tiền mặt</t>
  </si>
  <si>
    <t>10%</t>
  </si>
  <si>
    <t>info@mifi.vn</t>
  </si>
  <si>
    <t>TM12</t>
  </si>
  <si>
    <t>Hàng hóa, dịch vụ</t>
  </si>
  <si>
    <t>Ghi chú hóa đơn</t>
  </si>
  <si>
    <t>Hosting 1</t>
  </si>
  <si>
    <t>Hosting 2</t>
  </si>
  <si>
    <t>Hosting 3</t>
  </si>
  <si>
    <t>httt</t>
  </si>
  <si>
    <t>extra</t>
  </si>
  <si>
    <t>extra1</t>
  </si>
  <si>
    <t>ngay_lap_hd</t>
  </si>
  <si>
    <t>ma_kh</t>
  </si>
  <si>
    <t>ten_kh</t>
  </si>
  <si>
    <t>ten_don_vi</t>
  </si>
  <si>
    <t>mst_kh</t>
  </si>
  <si>
    <t>dia_chi_kh</t>
  </si>
  <si>
    <t>email_kh</t>
  </si>
  <si>
    <t>so_tk_nh</t>
  </si>
  <si>
    <t>ten_tk_nh</t>
  </si>
  <si>
    <t>don_vi_tien</t>
  </si>
  <si>
    <t>ty_gia</t>
  </si>
  <si>
    <t>ghi_chu</t>
  </si>
  <si>
    <t>p_ma_hang_hoa</t>
  </si>
  <si>
    <t>p_ten_hang_hoa</t>
  </si>
  <si>
    <t>p_don_vi_hang_hoa</t>
  </si>
  <si>
    <t>p_so_luong</t>
  </si>
  <si>
    <t>p_don_gia</t>
  </si>
  <si>
    <t>p_thanh_tien_chua_ck</t>
  </si>
  <si>
    <t>p_chiet_khau</t>
  </si>
  <si>
    <t>p_tien_chiet_khau</t>
  </si>
  <si>
    <t>p_thue_suat</t>
  </si>
  <si>
    <t>p_tien_thue</t>
  </si>
  <si>
    <t>p_thanh_tien_sau_thue</t>
  </si>
  <si>
    <t>p_tinh_chat</t>
  </si>
  <si>
    <t>p_remark</t>
  </si>
  <si>
    <t>p_conno</t>
  </si>
  <si>
    <t>p_extdate</t>
  </si>
  <si>
    <t>p_extra</t>
  </si>
  <si>
    <t>p_extra1</t>
  </si>
  <si>
    <t>p_extra2</t>
  </si>
  <si>
    <t>p_extra3</t>
  </si>
  <si>
    <t>p_extra4</t>
  </si>
  <si>
    <t>p_extra5</t>
  </si>
  <si>
    <t>p_extra6</t>
  </si>
  <si>
    <t>p_extra7</t>
  </si>
  <si>
    <t>p_extra8</t>
  </si>
  <si>
    <t>p_extra9</t>
  </si>
  <si>
    <t>p_extra10</t>
  </si>
  <si>
    <t>so_tham_chieu</t>
  </si>
  <si>
    <t>p_thanh_tien_truoc_thue</t>
  </si>
  <si>
    <t>nguoi_tao</t>
  </si>
  <si>
    <t>cccd</t>
  </si>
  <si>
    <t>ma_ch</t>
  </si>
  <si>
    <t>ten_ch</t>
  </si>
  <si>
    <t>so_ho_chieu</t>
  </si>
  <si>
    <t>ma_dvqhns</t>
  </si>
  <si>
    <t>so_khung</t>
  </si>
  <si>
    <t>so_may</t>
  </si>
  <si>
    <t>bksoat_ptvchuyen</t>
  </si>
  <si>
    <t>ten_nguoi_gui_hang</t>
  </si>
  <si>
    <t>dchi_nguoi_gui_hang</t>
  </si>
  <si>
    <t>mst_nguoi_gui_hang</t>
  </si>
  <si>
    <t>soddanh_nguoi_gui_hang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</si>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</sst>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yyyy\-mm\-dd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1E1E1E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Alignment="1">
      <alignment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3" fillId="0" borderId="0" xfId="1" applyAlignment="1">
      <alignment wrapText="1"/>
    </xf>
    <xf numFmtId="1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0" fontId="0" fillId="0" borderId="0" xfId="0" applyAlignment="1">
      <alignment horizontal="right" wrapText="1"/>
    </xf>
    <xf numFmtId="2" fontId="0" fillId="0" borderId="0" xfId="0" applyNumberFormat="1" applyAlignment="1">
      <alignment horizontal="right" wrapText="1"/>
    </xf>
    <xf numFmtId="166" fontId="7" fillId="0" borderId="0" xfId="0" applyNumberFormat="1" applyFont="1"/>
    <xf numFmtId="0" fontId="2" fillId="0" borderId="0" xfId="0" applyFont="1" applyAlignment="1">
      <alignment horizontal="center"/>
    </xf>
    <xf numFmtId="0" fontId="4" fillId="0" borderId="0" xfId="0" applyFont="1"/>
    <xf numFmtId="0" fontId="5" fillId="5" borderId="0" xfId="0" applyFont="1" applyFill="1" applyAlignment="1">
      <alignment horizontal="center"/>
    </xf>
    <xf numFmtId="0" fontId="5" fillId="5" borderId="0" xfId="0" applyFont="1" applyFill="1"/>
    <xf numFmtId="1" fontId="5" fillId="5" borderId="0" xfId="0" applyNumberFormat="1" applyFont="1" applyFill="1" applyAlignment="1">
      <alignment horizontal="center"/>
    </xf>
    <xf numFmtId="165" fontId="5" fillId="5" borderId="0" xfId="0" applyNumberFormat="1" applyFont="1" applyFill="1" applyAlignment="1">
      <alignment horizontal="center"/>
    </xf>
    <xf numFmtId="164" fontId="5" fillId="5" borderId="0" xfId="0" applyNumberFormat="1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quotePrefix="1" applyAlignment="1">
      <alignment horizontal="center" wrapText="1"/>
    </xf>
    <xf numFmtId="0" fontId="4" fillId="2" borderId="4" xfId="0" applyFont="1" applyFill="1" applyBorder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4" fillId="2" borderId="0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60">
    <dxf>
      <numFmt numFmtId="0" formatCode="General"/>
      <alignment vertical="bottom" textRotation="0" wrapText="1" indent="0" justifyLastLine="0" shrinkToFit="0" readingOrder="0"/>
    </dxf>
    <dxf>
      <numFmt numFmtId="0" formatCode="General"/>
      <alignment vertical="bottom" textRotation="0" wrapText="1" indent="0" justifyLastLine="0" shrinkToFit="0" readingOrder="0"/>
    </dxf>
    <dxf>
      <numFmt numFmtId="0" formatCode="General"/>
      <alignment vertical="bottom" textRotation="0" wrapText="1" indent="0" justifyLastLine="0" shrinkToFit="0" readingOrder="0"/>
    </dxf>
    <dxf>
      <numFmt numFmtId="0" formatCode="General"/>
      <alignment vertical="bottom" textRotation="0" wrapText="1" indent="0" justifyLastLine="0" shrinkToFit="0" readingOrder="0"/>
    </dxf>
    <dxf>
      <numFmt numFmtId="0" formatCode="General"/>
      <alignment vertical="bottom" textRotation="0" wrapText="1" indent="0" justifyLastLine="0" shrinkToFit="0" readingOrder="0"/>
    </dxf>
    <dxf>
      <numFmt numFmtId="0" formatCode="General"/>
      <alignment vertical="bottom" textRotation="0" wrapText="1" indent="0" justifyLastLine="0" shrinkToFit="0" readingOrder="0"/>
    </dxf>
    <dxf>
      <numFmt numFmtId="0" formatCode="General"/>
      <alignment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vertical="bottom" textRotation="0" wrapText="1" indent="0" justifyLastLine="0" shrinkToFit="0" readingOrder="0"/>
    </dxf>
    <dxf>
      <numFmt numFmtId="2" formatCode="0.00"/>
      <alignment vertical="bottom" textRotation="0" wrapText="1" indent="0" justifyLastLine="0" shrinkToFit="0" readingOrder="0"/>
    </dxf>
    <dxf>
      <numFmt numFmtId="2" formatCode="0.00"/>
      <alignment vertical="bottom" textRotation="0" wrapText="1" indent="0" justifyLastLine="0" shrinkToFit="0" readingOrder="0"/>
    </dxf>
    <dxf>
      <numFmt numFmtId="2" formatCode="0.00"/>
      <alignment vertical="bottom" textRotation="0" wrapText="1" indent="0" justifyLastLine="0" shrinkToFit="0" readingOrder="0"/>
    </dxf>
    <dxf>
      <numFmt numFmtId="2" formatCode="0.00"/>
      <alignment vertical="bottom" textRotation="0" wrapText="1" indent="0" justifyLastLine="0" shrinkToFit="0" readingOrder="0"/>
    </dxf>
    <dxf>
      <numFmt numFmtId="2" formatCode="0.00"/>
      <alignment vertical="bottom" textRotation="0" wrapText="1" indent="0" justifyLastLine="0" shrinkToFit="0" readingOrder="0"/>
    </dxf>
    <dxf>
      <numFmt numFmtId="2" formatCode="0.00"/>
      <alignment vertical="bottom" textRotation="0" wrapText="1" indent="0" justifyLastLine="0" shrinkToFit="0" readingOrder="0"/>
    </dxf>
    <dxf>
      <numFmt numFmtId="2" formatCode="0.00"/>
      <alignment vertical="bottom" textRotation="0" wrapText="1" indent="0" justifyLastLine="0" shrinkToFit="0" readingOrder="0"/>
    </dxf>
    <dxf>
      <numFmt numFmtId="2" formatCode="0.00"/>
      <alignment vertical="bottom" textRotation="0" wrapText="1" indent="0" justifyLastLine="0" shrinkToFit="0" readingOrder="0"/>
    </dxf>
    <dxf>
      <numFmt numFmtId="2" formatCode="0.00"/>
      <alignment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vertical="bottom" textRotation="0" wrapText="1" indent="0" justifyLastLine="0" shrinkToFit="0" readingOrder="0"/>
    </dxf>
    <dxf>
      <numFmt numFmtId="2" formatCode="0.00"/>
      <alignment vertical="bottom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1" indent="0" justifyLastLine="0" shrinkToFit="0" readingOrder="0"/>
    </dxf>
    <dxf>
      <numFmt numFmtId="2" formatCode="0.00"/>
      <alignment vertical="bottom" textRotation="0" wrapText="1" indent="0" justifyLastLine="0" shrinkToFit="0" readingOrder="0"/>
    </dxf>
    <dxf>
      <numFmt numFmtId="164" formatCode="0.000"/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numFmt numFmtId="164" formatCode="0.000"/>
      <alignment vertical="bottom" textRotation="0" wrapText="1" indent="0" justifyLastLine="0" shrinkToFit="0" readingOrder="0"/>
    </dxf>
    <dxf>
      <numFmt numFmtId="165" formatCode="0.0000"/>
      <alignment vertical="bottom" textRotation="0" wrapText="1" indent="0" justifyLastLine="0" shrinkToFit="0" readingOrder="0"/>
    </dxf>
    <dxf>
      <numFmt numFmtId="1" formatCode="0"/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numFmt numFmtId="2" formatCode="0.00"/>
      <alignment horizontal="right"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6" displayName="Table6" ref="A6:BD11" headerRowDxfId="59" dataDxfId="58">
  <autoFilter ref="A6:BD11" xr:uid="{00000000-000C-0000-FFFF-FFFF0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</autoFilter>
  <tableColumns count="56">
    <tableColumn id="1" xr3:uid="{00000000-0010-0000-0000-000001000000}" name="Column1" totalsRowLabel="Total" dataDxfId="57"/>
    <tableColumn id="2" xr3:uid="{00000000-0010-0000-0000-000002000000}" name="Column2" dataDxfId="56"/>
    <tableColumn id="3" xr3:uid="{00000000-0010-0000-0000-000003000000}" name="Column3" dataDxfId="55"/>
    <tableColumn id="4" xr3:uid="{00000000-0010-0000-0000-000004000000}" name="Column4" dataDxfId="54"/>
    <tableColumn id="5" xr3:uid="{00000000-0010-0000-0000-000005000000}" name="Column5" dataDxfId="53"/>
    <tableColumn id="6" xr3:uid="{00000000-0010-0000-0000-000006000000}" name="Column6" dataDxfId="52"/>
    <tableColumn id="7" xr3:uid="{00000000-0010-0000-0000-000007000000}" name="Column7" dataDxfId="51"/>
    <tableColumn id="8" xr3:uid="{00000000-0010-0000-0000-000008000000}" name="Column8" dataDxfId="50"/>
    <tableColumn id="9" xr3:uid="{00000000-0010-0000-0000-000009000000}" name="Column9" dataDxfId="49"/>
    <tableColumn id="10" xr3:uid="{00000000-0010-0000-0000-00000A000000}" name="Column10" dataDxfId="48"/>
    <tableColumn id="11" xr3:uid="{00000000-0010-0000-0000-00000B000000}" name="Column11" dataDxfId="47"/>
    <tableColumn id="24" xr3:uid="{603891BB-644E-4E7C-857A-DC742AE05516}" name="Column12" dataDxfId="46"/>
    <tableColumn id="20" xr3:uid="{378461AE-2E60-4EA5-A420-6B00BC5A8D7D}" name="Column13" dataDxfId="45"/>
    <tableColumn id="38" xr3:uid="{757CFC45-955C-4E76-B6DE-09E17AB10208}" name="Column14" dataDxfId="44"/>
    <tableColumn id="30" xr3:uid="{673E68DA-D512-4A24-8C62-FA25F87A012D}" name="Column15" dataDxfId="43"/>
    <tableColumn id="31" xr3:uid="{0924B11D-7811-4353-BA32-FDB0C312C072}" name="Column16" dataDxfId="42"/>
    <tableColumn id="44" xr3:uid="{09635940-1860-42B6-8DF2-AD70E75A648F}" name="Column17" dataDxfId="41"/>
    <tableColumn id="45" xr3:uid="{97ABC538-CA7E-45E5-9A47-22C46FA7A93B}" name="Column18" dataDxfId="40"/>
    <tableColumn id="54" xr3:uid="{F3A351C3-4BF6-4CDF-A85F-056F28E4B113}" name="Column19" dataDxfId="39"/>
    <tableColumn id="53" xr3:uid="{12D89F77-1A45-436C-8A6F-628900A7EF06}" name="Column20" dataDxfId="38"/>
    <tableColumn id="52" xr3:uid="{3BA5F565-5137-4D9E-97DD-17C73AD2DE4D}" name="Column21" dataDxfId="37"/>
    <tableColumn id="51" xr3:uid="{D92D8FF4-3CBF-445D-9EE2-74A46F6F377E}" name="Column22" dataDxfId="36"/>
    <tableColumn id="12" xr3:uid="{00000000-0010-0000-0000-00000C000000}" name="Column23" dataDxfId="35"/>
    <tableColumn id="13" xr3:uid="{00000000-0010-0000-0000-00000D000000}" name="Column24" dataDxfId="34" totalsRowDxfId="33"/>
    <tableColumn id="14" xr3:uid="{00000000-0010-0000-0000-00000E000000}" name="Column25" dataDxfId="32"/>
    <tableColumn id="15" xr3:uid="{00000000-0010-0000-0000-00000F000000}" name="Column26" dataDxfId="31"/>
    <tableColumn id="16" xr3:uid="{00000000-0010-0000-0000-000010000000}" name="Column27" dataDxfId="30"/>
    <tableColumn id="23" xr3:uid="{00000000-0010-0000-0000-000017000000}" name="Column28" dataDxfId="29">
      <calculatedColumnFormula>IF(AND(Table6[[#This Row],[Column26]]&lt;&gt;"",Table6[[#This Row],[Column27]]&lt;&gt;""),ROUND(Table6[[#This Row],[Column26]]*Table6[[#This Row],[Column27]], SUMIF(#REF!,Table6[[#This Row],[Column12]],#REF!)),"")</calculatedColumnFormula>
    </tableColumn>
    <tableColumn id="22" xr3:uid="{00000000-0010-0000-0000-000016000000}" name="Column29" dataDxfId="28"/>
    <tableColumn id="21" xr3:uid="{00000000-0010-0000-0000-000015000000}" name="Column30" dataDxfId="27">
      <calculatedColumnFormula>IF(AND(Table6[[#This Row],[Column28]]&lt;&gt;"",Table6[[#This Row],[Column29]]&lt;&gt;""),ROUND(Table6[[#This Row],[Column28]]*Table6[[#This Row],[Column29]]/100,SUMIF(#REF!,Table6[[#This Row],[Column12]],#REF!)),"")</calculatedColumnFormula>
    </tableColumn>
    <tableColumn id="17" xr3:uid="{00000000-0010-0000-0000-000011000000}" name="Column31" dataDxfId="26">
      <calculatedColumnFormula>IF(AND(Table6[[#This Row],[Column28]]&lt;&gt;"",Table6[[#This Row],[Column30]]&lt;&gt;""),Table6[[#This Row],[Column28]]-Table6[[#This Row],[Column30]],Table6[[#This Row],[Column28]])</calculatedColumnFormula>
    </tableColumn>
    <tableColumn id="18" xr3:uid="{00000000-0010-0000-0000-000012000000}" name="Column32" dataDxfId="25" totalsRowDxfId="24"/>
    <tableColumn id="19" xr3:uid="{00000000-0010-0000-0000-000013000000}" name="Column33" dataDxfId="23">
      <calculatedColumnFormula>IF(ISBLANK(Table6[[#This Row],[Column32]]),"",IF(OR(SUMIF(#REF!,Table6[[#This Row],[Column32]],#REF!)=-1, SUMIF(#REF!,Table6[[#This Row],[Column32]],#REF!)=-2), 0,ROUND(SUMIF(#REF!,Table6[[#This Row],[Column32]],#REF!)*Table6[[#This Row],[Column31]]/100,SUMIF(#REF!,Table6[[#This Row],[Column12]],#REF!))))</calculatedColumnFormula>
    </tableColumn>
    <tableColumn id="25" xr3:uid="{A94C55F5-412F-49A9-B873-4BB3AC4C300D}" name="Column34" dataDxfId="22">
      <calculatedColumnFormula>IF(OR(Table6[[#This Row],[Column31]]="",Table6[[#This Row],[Column33]]=""),"",Table6[[#This Row],[Column31]]+Table6[[#This Row],[Column33]])</calculatedColumnFormula>
    </tableColumn>
    <tableColumn id="40" xr3:uid="{02CC1DA0-9D33-4C44-9928-08FD82414A92}" name="Column35" dataDxfId="21"/>
    <tableColumn id="41" xr3:uid="{8A3749B0-3EA6-4DCA-898E-6C21F8E9B441}" name="Column36" dataDxfId="20"/>
    <tableColumn id="42" xr3:uid="{BD7E5AE0-CD60-4E04-B487-760FE26AD590}" name="Column37" dataDxfId="19"/>
    <tableColumn id="39" xr3:uid="{8DB68266-6274-4BAF-B250-B413562810B1}" name="Column38" dataDxfId="18"/>
    <tableColumn id="32" xr3:uid="{82FD954D-C7B5-438E-BFEF-00A68C584EA4}" name="Column39" dataDxfId="17"/>
    <tableColumn id="33" xr3:uid="{9247C51C-8711-4DE7-9030-031BE45FDBDB}" name="Column40" dataDxfId="16"/>
    <tableColumn id="29" xr3:uid="{783A5505-448F-4FE9-A521-413A7E5AA6A8}" name="Column41" dataDxfId="15"/>
    <tableColumn id="28" xr3:uid="{CA376238-4D79-45A7-882F-2883D9140C5D}" name="Column42" dataDxfId="14"/>
    <tableColumn id="27" xr3:uid="{96AEC726-F476-4D1F-AC8F-CA3826900166}" name="Column43" dataDxfId="13"/>
    <tableColumn id="26" xr3:uid="{056B574E-69AB-4B58-9FFC-ED675D3A155E}" name="Column44" dataDxfId="12"/>
    <tableColumn id="34" xr3:uid="{81668F67-65E4-43F5-9EF3-94935190107B}" name="Column45" dataDxfId="11"/>
    <tableColumn id="35" xr3:uid="{ADF8B812-32E6-4EFF-B2B7-D5DE530C604A}" name="Column46" dataDxfId="10"/>
    <tableColumn id="36" xr3:uid="{95594815-F45D-4665-9B0D-DB1A53A1347D}" name="Column47" dataDxfId="9"/>
    <tableColumn id="37" xr3:uid="{7D8E62FE-837A-422B-B8F0-0FF4CCC03E7B}" name="Column48" dataDxfId="8"/>
    <tableColumn id="43" xr3:uid="{80D46A77-D652-4986-BA8D-86349DC12EB9}" name="Column49" dataDxfId="7"/>
    <tableColumn id="46" xr3:uid="{6B79732F-DB40-4D26-B3B5-C838C6396B8A}" name="Column50" dataDxfId="6"/>
    <tableColumn id="47" xr3:uid="{60483000-F45D-4308-A0ED-245020189F83}" name="Column51" dataDxfId="5"/>
    <tableColumn id="48" xr3:uid="{55685BDC-F123-400E-92AF-45D040067742}" name="Column52" dataDxfId="4"/>
    <tableColumn id="49" xr3:uid="{951BB61A-6162-4699-8044-7F93164D155F}" name="Column53" dataDxfId="3"/>
    <tableColumn id="50" xr3:uid="{95678144-F0FA-4EB9-A903-F80D1A019F88}" name="Column54" dataDxfId="2"/>
    <tableColumn id="55" xr3:uid="{9555C352-C4B8-442B-AD7C-469A47E7F669}" name="Column55" dataDxfId="1"/>
    <tableColumn id="56" xr3:uid="{B13E1E8E-C63D-479C-8C25-86F31858EA1C}" name="Column5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mifi.vn" TargetMode="External"/><Relationship Id="rId2" Type="http://schemas.openxmlformats.org/officeDocument/2006/relationships/hyperlink" Target="mailto:info@mifi.vn" TargetMode="External"/><Relationship Id="rId1" Type="http://schemas.openxmlformats.org/officeDocument/2006/relationships/hyperlink" Target="mailto:info@mifi.vn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info@mifi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0"/>
  <sheetViews>
    <sheetView tabSelected="1" workbookViewId="0">
      <selection activeCell="D20" sqref="D20"/>
    </sheetView>
  </sheetViews>
  <sheetFormatPr defaultColWidth="16.7265625" defaultRowHeight="14.5" x14ac:dyDescent="0.35"/>
  <cols>
    <col min="1" max="1" width="14.26953125" bestFit="1" customWidth="1"/>
    <col min="2" max="2" width="15.1796875" bestFit="1" customWidth="1"/>
    <col min="3" max="3" width="6.7265625" bestFit="1" customWidth="1"/>
    <col min="4" max="4" width="14.7265625" bestFit="1" customWidth="1"/>
    <col min="5" max="5" width="10.54296875" bestFit="1" customWidth="1"/>
    <col min="6" max="6" width="10.81640625" bestFit="1" customWidth="1"/>
    <col min="7" max="7" width="9.81640625" bestFit="1" customWidth="1"/>
    <col min="8" max="8" width="12.7265625" bestFit="1" customWidth="1"/>
    <col min="9" max="9" width="8.7265625" bestFit="1" customWidth="1"/>
    <col min="10" max="10" width="8.453125" bestFit="1" customWidth="1"/>
    <col min="11" max="11" width="12.7265625" bestFit="1" customWidth="1"/>
    <col min="12" max="12" width="19.7265625" bestFit="1" customWidth="1"/>
    <col min="13" max="13" width="11" bestFit="1" customWidth="1"/>
    <col min="14" max="14" width="19.1796875" bestFit="1" customWidth="1"/>
    <col min="15" max="15" width="10.26953125" bestFit="1" customWidth="1"/>
    <col min="16" max="16" width="6.54296875" bestFit="1" customWidth="1"/>
    <col min="17" max="17" width="10.1796875" bestFit="1" customWidth="1"/>
    <col min="18" max="22" width="10.1796875" customWidth="1"/>
    <col min="23" max="23" width="14.7265625" bestFit="1" customWidth="1"/>
    <col min="24" max="24" width="15" bestFit="1" customWidth="1"/>
    <col min="25" max="25" width="17.81640625" bestFit="1" customWidth="1"/>
    <col min="26" max="26" width="10.54296875" bestFit="1" customWidth="1"/>
    <col min="27" max="27" width="11.54296875" bestFit="1" customWidth="1"/>
    <col min="28" max="28" width="20" bestFit="1" customWidth="1"/>
    <col min="29" max="29" width="14" bestFit="1" customWidth="1"/>
    <col min="31" max="31" width="24" bestFit="1" customWidth="1"/>
    <col min="32" max="32" width="11.453125" bestFit="1" customWidth="1"/>
    <col min="33" max="33" width="15.26953125" bestFit="1" customWidth="1"/>
    <col min="34" max="34" width="21.1796875" bestFit="1" customWidth="1"/>
    <col min="35" max="35" width="16.54296875" bestFit="1" customWidth="1"/>
    <col min="36" max="36" width="9.1796875" bestFit="1" customWidth="1"/>
    <col min="37" max="37" width="8.26953125" bestFit="1" customWidth="1"/>
    <col min="38" max="38" width="9.7265625" bestFit="1" customWidth="1"/>
    <col min="39" max="39" width="14.1796875" bestFit="1" customWidth="1"/>
    <col min="40" max="48" width="15.1796875" bestFit="1" customWidth="1"/>
    <col min="49" max="49" width="16.1796875" bestFit="1" customWidth="1"/>
  </cols>
  <sheetData>
    <row r="1" spans="1:61" ht="36" x14ac:dyDescent="0.8">
      <c r="A1" s="31"/>
      <c r="B1" s="31"/>
      <c r="C1" s="31"/>
      <c r="D1" s="31"/>
      <c r="E1" s="31"/>
      <c r="F1" s="31"/>
      <c r="G1" s="31"/>
      <c r="H1" s="18"/>
      <c r="I1" s="18"/>
      <c r="W1" s="18"/>
      <c r="X1" s="18"/>
      <c r="Y1" s="2"/>
      <c r="Z1" s="2"/>
      <c r="AA1" s="2"/>
      <c r="AB1" s="2"/>
      <c r="AC1" s="2"/>
      <c r="AD1" s="2"/>
    </row>
    <row r="2" spans="1:61" ht="15.5" x14ac:dyDescent="0.35">
      <c r="A2" s="30"/>
      <c r="B2" s="30"/>
      <c r="C2" s="30"/>
      <c r="D2" s="30"/>
      <c r="E2" s="30"/>
      <c r="F2" s="30"/>
      <c r="G2" s="30"/>
      <c r="J2" s="6"/>
      <c r="K2" s="1"/>
      <c r="L2" s="1"/>
      <c r="M2" s="1"/>
      <c r="N2" s="1"/>
      <c r="O2" s="1"/>
      <c r="P2" s="29"/>
      <c r="Q2" s="33"/>
      <c r="R2" s="33"/>
      <c r="S2" s="33"/>
      <c r="T2" s="33"/>
      <c r="U2" s="33"/>
      <c r="V2" s="33"/>
      <c r="W2" s="33"/>
      <c r="X2" s="33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</row>
    <row r="3" spans="1:61" x14ac:dyDescent="0.35">
      <c r="A3" s="32"/>
      <c r="B3" s="32"/>
      <c r="C3" s="32"/>
      <c r="D3" s="32"/>
      <c r="E3" s="32"/>
      <c r="F3" s="32"/>
      <c r="G3" s="32"/>
      <c r="J3" s="6"/>
      <c r="K3" s="1"/>
      <c r="L3" s="1"/>
      <c r="M3" s="1"/>
      <c r="N3" s="1"/>
      <c r="O3" s="1"/>
      <c r="AA3" s="19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</row>
    <row r="4" spans="1:61" ht="76.5" customHeight="1" x14ac:dyDescent="0.35">
      <c r="A4" s="32"/>
      <c r="B4" s="32"/>
      <c r="C4" s="32"/>
      <c r="D4" s="32"/>
      <c r="E4" s="32"/>
      <c r="F4" s="32"/>
      <c r="G4" s="32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</row>
    <row r="5" spans="1:61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W5" s="3"/>
      <c r="X5" s="3"/>
      <c r="Y5" s="3"/>
      <c r="Z5" s="3"/>
      <c r="AA5" s="3"/>
      <c r="AB5" s="3"/>
      <c r="AC5" s="3"/>
      <c r="AD5" s="3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</row>
    <row r="6" spans="1:61" s="8" customFormat="1" ht="29" x14ac:dyDescent="0.35">
      <c r="A6" s="4" t="s">
        <v>73</v>
      </c>
      <c r="B6" s="5" t="s">
        <v>74</v>
      </c>
      <c r="C6" s="4" t="s">
        <v>75</v>
      </c>
      <c r="D6" s="4" t="s">
        <v>76</v>
      </c>
      <c r="E6" s="4" t="s">
        <v>77</v>
      </c>
      <c r="F6" s="4" t="s">
        <v>78</v>
      </c>
      <c r="G6" s="4" t="s">
        <v>79</v>
      </c>
      <c r="H6" s="4" t="s">
        <v>80</v>
      </c>
      <c r="I6" s="4" t="s">
        <v>81</v>
      </c>
      <c r="J6" s="4" t="s">
        <v>82</v>
      </c>
      <c r="K6" s="4" t="s">
        <v>83</v>
      </c>
      <c r="L6" s="4" t="s">
        <v>84</v>
      </c>
      <c r="M6" s="4" t="s">
        <v>85</v>
      </c>
      <c r="N6" s="4" t="s">
        <v>86</v>
      </c>
      <c r="O6" s="4" t="s">
        <v>87</v>
      </c>
      <c r="P6" s="4" t="s">
        <v>88</v>
      </c>
      <c r="Q6" s="4" t="s">
        <v>89</v>
      </c>
      <c r="R6" s="4" t="s">
        <v>90</v>
      </c>
      <c r="S6" s="4" t="s">
        <v>91</v>
      </c>
      <c r="T6" s="4" t="s">
        <v>92</v>
      </c>
      <c r="U6" s="4" t="s">
        <v>93</v>
      </c>
      <c r="V6" s="4" t="s">
        <v>94</v>
      </c>
      <c r="W6" s="7" t="s">
        <v>95</v>
      </c>
      <c r="X6" s="7" t="s">
        <v>96</v>
      </c>
      <c r="Y6" s="7" t="s">
        <v>97</v>
      </c>
      <c r="Z6" s="7" t="s">
        <v>98</v>
      </c>
      <c r="AA6" s="7" t="s">
        <v>99</v>
      </c>
      <c r="AB6" s="7" t="s">
        <v>100</v>
      </c>
      <c r="AC6" s="7" t="s">
        <v>101</v>
      </c>
      <c r="AD6" s="7" t="s">
        <v>102</v>
      </c>
      <c r="AE6" s="7" t="s">
        <v>103</v>
      </c>
      <c r="AF6" s="7" t="s">
        <v>104</v>
      </c>
      <c r="AG6" s="7" t="s">
        <v>105</v>
      </c>
      <c r="AH6" s="7" t="s">
        <v>106</v>
      </c>
      <c r="AI6" s="7" t="s">
        <v>107</v>
      </c>
      <c r="AJ6" s="7" t="s">
        <v>108</v>
      </c>
      <c r="AK6" s="7" t="s">
        <v>109</v>
      </c>
      <c r="AL6" s="7" t="s">
        <v>110</v>
      </c>
      <c r="AM6" s="7" t="s">
        <v>111</v>
      </c>
      <c r="AN6" s="7" t="s">
        <v>112</v>
      </c>
      <c r="AO6" s="7" t="s">
        <v>113</v>
      </c>
      <c r="AP6" s="7" t="s">
        <v>114</v>
      </c>
      <c r="AQ6" s="7" t="s">
        <v>115</v>
      </c>
      <c r="AR6" s="7" t="s">
        <v>116</v>
      </c>
      <c r="AS6" s="7" t="s">
        <v>117</v>
      </c>
      <c r="AT6" s="7" t="s">
        <v>118</v>
      </c>
      <c r="AU6" s="7" t="s">
        <v>119</v>
      </c>
      <c r="AV6" s="7" t="s">
        <v>120</v>
      </c>
      <c r="AW6" s="7" t="s">
        <v>121</v>
      </c>
      <c r="AX6" s="7" t="s">
        <v>122</v>
      </c>
      <c r="AY6" s="7" t="s">
        <v>123</v>
      </c>
      <c r="AZ6" s="7" t="s">
        <v>124</v>
      </c>
      <c r="BA6" s="7" t="s">
        <v>125</v>
      </c>
      <c r="BB6" s="7" t="s">
        <v>126</v>
      </c>
      <c r="BC6" s="7" t="s">
        <v>127</v>
      </c>
      <c r="BD6" s="7" t="s">
        <v>128</v>
      </c>
      <c r="BE6" s="25"/>
      <c r="BF6" s="25"/>
      <c r="BG6" s="25"/>
      <c r="BH6" s="25"/>
      <c r="BI6" s="25"/>
    </row>
    <row r="7" spans="1:61" s="25" customFormat="1" ht="29" x14ac:dyDescent="0.35">
      <c r="A7" s="20" t="s">
        <v>58</v>
      </c>
      <c r="B7" s="20" t="s">
        <v>20</v>
      </c>
      <c r="C7" s="20" t="s">
        <v>21</v>
      </c>
      <c r="D7" s="20" t="s">
        <v>22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17</v>
      </c>
      <c r="J7" s="20" t="s">
        <v>27</v>
      </c>
      <c r="K7" s="20" t="s">
        <v>28</v>
      </c>
      <c r="L7" s="20" t="s">
        <v>29</v>
      </c>
      <c r="M7" s="20" t="s">
        <v>30</v>
      </c>
      <c r="N7" s="20" t="s">
        <v>31</v>
      </c>
      <c r="O7" s="20" t="s">
        <v>18</v>
      </c>
      <c r="P7" s="20" t="s">
        <v>19</v>
      </c>
      <c r="Q7" s="20" t="s">
        <v>60</v>
      </c>
      <c r="R7" s="20" t="s">
        <v>62</v>
      </c>
      <c r="S7" s="20" t="s">
        <v>63</v>
      </c>
      <c r="T7" s="20" t="s">
        <v>61</v>
      </c>
      <c r="U7" s="20" t="s">
        <v>64</v>
      </c>
      <c r="V7" s="20" t="s">
        <v>65</v>
      </c>
      <c r="W7" s="20" t="s">
        <v>32</v>
      </c>
      <c r="X7" s="21" t="s">
        <v>33</v>
      </c>
      <c r="Y7" s="20" t="s">
        <v>34</v>
      </c>
      <c r="Z7" s="22" t="s">
        <v>35</v>
      </c>
      <c r="AA7" s="23" t="s">
        <v>36</v>
      </c>
      <c r="AB7" s="24" t="s">
        <v>37</v>
      </c>
      <c r="AC7" s="20" t="s">
        <v>38</v>
      </c>
      <c r="AD7" s="20" t="s">
        <v>39</v>
      </c>
      <c r="AE7" s="20" t="s">
        <v>59</v>
      </c>
      <c r="AF7" s="20" t="s">
        <v>40</v>
      </c>
      <c r="AG7" s="20" t="s">
        <v>41</v>
      </c>
      <c r="AH7" s="20" t="s">
        <v>42</v>
      </c>
      <c r="AI7" s="20" t="s">
        <v>43</v>
      </c>
      <c r="AJ7" s="20" t="s">
        <v>44</v>
      </c>
      <c r="AK7" s="20" t="s">
        <v>45</v>
      </c>
      <c r="AL7" s="20" t="s">
        <v>46</v>
      </c>
      <c r="AM7" s="20" t="s">
        <v>47</v>
      </c>
      <c r="AN7" s="20" t="s">
        <v>48</v>
      </c>
      <c r="AO7" s="20" t="s">
        <v>49</v>
      </c>
      <c r="AP7" s="20" t="s">
        <v>50</v>
      </c>
      <c r="AQ7" s="20" t="s">
        <v>51</v>
      </c>
      <c r="AR7" s="20" t="s">
        <v>52</v>
      </c>
      <c r="AS7" s="20" t="s">
        <v>53</v>
      </c>
      <c r="AT7" s="20" t="s">
        <v>54</v>
      </c>
      <c r="AU7" s="20" t="s">
        <v>55</v>
      </c>
      <c r="AV7" s="20" t="s">
        <v>56</v>
      </c>
      <c r="AW7" s="20" t="s">
        <v>57</v>
      </c>
      <c r="AX7" s="26" t="s">
        <v>66</v>
      </c>
      <c r="AY7" s="26" t="s">
        <v>67</v>
      </c>
      <c r="AZ7" s="26" t="s">
        <v>68</v>
      </c>
      <c r="BA7" s="26" t="s">
        <v>69</v>
      </c>
      <c r="BB7" s="26" t="s">
        <v>70</v>
      </c>
      <c r="BC7" s="26" t="s">
        <v>71</v>
      </c>
      <c r="BD7" s="26" t="s">
        <v>72</v>
      </c>
    </row>
    <row r="8" spans="1:61" s="3" customFormat="1" ht="17.5" x14ac:dyDescent="0.45">
      <c r="A8" s="3">
        <v>1</v>
      </c>
      <c r="B8" s="17">
        <f ca="1">NOW()</f>
        <v>45970.544245023149</v>
      </c>
      <c r="C8" s="3">
        <v>12312</v>
      </c>
      <c r="D8" s="3" t="s">
        <v>1</v>
      </c>
      <c r="E8" s="3" t="s">
        <v>2</v>
      </c>
      <c r="F8" s="9"/>
      <c r="G8" s="3" t="s">
        <v>3</v>
      </c>
      <c r="H8" s="10" t="s">
        <v>10</v>
      </c>
      <c r="I8" s="3" t="s">
        <v>8</v>
      </c>
      <c r="J8" s="3">
        <v>12345</v>
      </c>
      <c r="K8" s="3" t="s">
        <v>4</v>
      </c>
      <c r="L8" s="15" t="s">
        <v>0</v>
      </c>
      <c r="M8" s="11">
        <v>0</v>
      </c>
      <c r="N8" s="11" t="s">
        <v>13</v>
      </c>
      <c r="O8" s="11"/>
      <c r="P8" s="11"/>
      <c r="Q8" s="11"/>
      <c r="R8" s="11"/>
      <c r="S8" s="11"/>
      <c r="T8" s="11"/>
      <c r="U8" s="11"/>
      <c r="V8" s="11"/>
      <c r="W8" s="3" t="s">
        <v>6</v>
      </c>
      <c r="X8" s="3" t="s">
        <v>5</v>
      </c>
      <c r="Y8" s="3" t="s">
        <v>7</v>
      </c>
      <c r="Z8" s="11">
        <v>1</v>
      </c>
      <c r="AA8" s="12">
        <v>100000</v>
      </c>
      <c r="AB8" s="13" t="e">
        <f>IF(AND(Table6[[#This Row],[Column26]]&lt;&gt;"",Table6[[#This Row],[Column27]]&lt;&gt;""),ROUND(Table6[[#This Row],[Column26]]*Table6[[#This Row],[Column27]], SUMIF(#REF!,Table6[[#This Row],[Column12]],#REF!)),"")</f>
        <v>#REF!</v>
      </c>
      <c r="AC8" s="3">
        <v>0</v>
      </c>
      <c r="AD8" s="13" t="e">
        <f>IF(AND(Table6[[#This Row],[Column28]]&lt;&gt;"",Table6[[#This Row],[Column29]]&lt;&gt;""),ROUND(Table6[[#This Row],[Column28]]*Table6[[#This Row],[Column29]]/100,SUMIF(#REF!,Table6[[#This Row],[Column12]],#REF!)),"")</f>
        <v>#REF!</v>
      </c>
      <c r="AE8" s="14" t="e">
        <f>IF(AND(Table6[[#This Row],[Column28]]&lt;&gt;"",Table6[[#This Row],[Column30]]&lt;&gt;""),Table6[[#This Row],[Column28]]-Table6[[#This Row],[Column30]],Table6[[#This Row],[Column28]])</f>
        <v>#REF!</v>
      </c>
      <c r="AF8" s="15" t="s">
        <v>9</v>
      </c>
      <c r="AG8" s="14" t="e">
        <f>IF(ISBLANK(Table6[[#This Row],[Column32]]),"",IF(OR(SUMIF(#REF!,Table6[[#This Row],[Column32]],#REF!)=-1, SUMIF(#REF!,Table6[[#This Row],[Column32]],#REF!)=-2), 0,ROUND(SUMIF(#REF!,Table6[[#This Row],[Column32]],#REF!)*Table6[[#This Row],[Column31]]/100,SUMIF(#REF!,Table6[[#This Row],[Column12]],#REF!))))</f>
        <v>#REF!</v>
      </c>
      <c r="AH8" s="14" t="e">
        <f>IF(OR(Table6[[#This Row],[Column31]]="",Table6[[#This Row],[Column33]]=""),"",Table6[[#This Row],[Column31]]+Table6[[#This Row],[Column33]])</f>
        <v>#REF!</v>
      </c>
      <c r="AI8" s="11" t="s">
        <v>12</v>
      </c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Y8" s="27"/>
      <c r="AZ8" s="27"/>
      <c r="BA8" s="27"/>
      <c r="BB8" s="27"/>
      <c r="BC8" s="28"/>
      <c r="BD8" s="28"/>
      <c r="BE8" s="25"/>
      <c r="BF8" s="25"/>
      <c r="BG8" s="25"/>
      <c r="BH8" s="25"/>
      <c r="BI8" s="25"/>
    </row>
    <row r="9" spans="1:61" s="3" customFormat="1" ht="17.5" x14ac:dyDescent="0.45">
      <c r="A9" s="3">
        <v>1</v>
      </c>
      <c r="B9" s="17">
        <f ca="1">NOW()</f>
        <v>45970.544245023149</v>
      </c>
      <c r="C9" s="3">
        <v>12312</v>
      </c>
      <c r="D9" s="3" t="s">
        <v>1</v>
      </c>
      <c r="E9" s="3" t="s">
        <v>2</v>
      </c>
      <c r="G9" s="3" t="s">
        <v>3</v>
      </c>
      <c r="H9" s="10" t="s">
        <v>10</v>
      </c>
      <c r="I9" s="3" t="s">
        <v>8</v>
      </c>
      <c r="J9" s="3">
        <v>12345</v>
      </c>
      <c r="K9" s="3" t="s">
        <v>4</v>
      </c>
      <c r="L9" s="16" t="s">
        <v>0</v>
      </c>
      <c r="M9" s="11">
        <v>0</v>
      </c>
      <c r="N9" s="11" t="s">
        <v>13</v>
      </c>
      <c r="O9" s="11"/>
      <c r="P9" s="11"/>
      <c r="Q9" s="11"/>
      <c r="R9" s="11"/>
      <c r="S9" s="11"/>
      <c r="T9" s="11"/>
      <c r="U9" s="11"/>
      <c r="V9" s="11"/>
      <c r="W9" s="3" t="s">
        <v>11</v>
      </c>
      <c r="X9" s="3" t="s">
        <v>14</v>
      </c>
      <c r="Y9" s="3" t="s">
        <v>7</v>
      </c>
      <c r="Z9" s="11">
        <v>1</v>
      </c>
      <c r="AA9" s="12">
        <v>20000</v>
      </c>
      <c r="AB9" s="13" t="e">
        <f>IF(AND(Table6[[#This Row],[Column26]]&lt;&gt;"",Table6[[#This Row],[Column27]]&lt;&gt;""),ROUND(Table6[[#This Row],[Column26]]*Table6[[#This Row],[Column27]], SUMIF(#REF!,Table6[[#This Row],[Column12]],#REF!)),"")</f>
        <v>#REF!</v>
      </c>
      <c r="AD9" s="13" t="e">
        <f>IF(AND(Table6[[#This Row],[Column28]]&lt;&gt;"",Table6[[#This Row],[Column29]]&lt;&gt;""),ROUND(Table6[[#This Row],[Column28]]*Table6[[#This Row],[Column29]]/100,SUMIF(#REF!,Table6[[#This Row],[Column12]],#REF!)),"")</f>
        <v>#REF!</v>
      </c>
      <c r="AE9" s="14" t="e">
        <f>IF(AND(Table6[[#This Row],[Column28]]&lt;&gt;"",Table6[[#This Row],[Column30]]&lt;&gt;""),Table6[[#This Row],[Column28]]-Table6[[#This Row],[Column30]],Table6[[#This Row],[Column28]])</f>
        <v>#REF!</v>
      </c>
      <c r="AF9" s="15" t="s">
        <v>9</v>
      </c>
      <c r="AG9" s="14" t="e">
        <f>IF(ISBLANK(Table6[[#This Row],[Column32]]),"",IF(OR(SUMIF(#REF!,Table6[[#This Row],[Column32]],#REF!)=-1, SUMIF(#REF!,Table6[[#This Row],[Column32]],#REF!)=-2), 0,ROUND(SUMIF(#REF!,Table6[[#This Row],[Column32]],#REF!)*Table6[[#This Row],[Column31]]/100,SUMIF(#REF!,Table6[[#This Row],[Column12]],#REF!))))</f>
        <v>#REF!</v>
      </c>
      <c r="AH9" s="14" t="e">
        <f>IF(OR(Table6[[#This Row],[Column31]]="",Table6[[#This Row],[Column33]]=""),"",Table6[[#This Row],[Column31]]+Table6[[#This Row],[Column33]])</f>
        <v>#REF!</v>
      </c>
      <c r="AI9" s="11" t="s">
        <v>12</v>
      </c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27"/>
      <c r="AY9" s="27"/>
      <c r="AZ9" s="27"/>
      <c r="BA9" s="27"/>
      <c r="BB9" s="27"/>
      <c r="BC9" s="27"/>
      <c r="BD9" s="27"/>
      <c r="BE9" s="25"/>
      <c r="BF9" s="25"/>
      <c r="BG9" s="25"/>
      <c r="BH9" s="25"/>
      <c r="BI9" s="25"/>
    </row>
    <row r="10" spans="1:61" s="3" customFormat="1" ht="17.5" x14ac:dyDescent="0.45">
      <c r="A10" s="3">
        <v>1</v>
      </c>
      <c r="B10" s="17">
        <f ca="1">NOW()</f>
        <v>45970.544245023149</v>
      </c>
      <c r="C10" s="3">
        <v>12312</v>
      </c>
      <c r="D10" s="3" t="s">
        <v>1</v>
      </c>
      <c r="E10" s="3" t="s">
        <v>2</v>
      </c>
      <c r="G10" s="3" t="s">
        <v>3</v>
      </c>
      <c r="H10" s="10" t="s">
        <v>10</v>
      </c>
      <c r="I10" s="3" t="s">
        <v>8</v>
      </c>
      <c r="J10" s="3">
        <v>12345</v>
      </c>
      <c r="K10" s="3" t="s">
        <v>4</v>
      </c>
      <c r="L10" s="16" t="s">
        <v>0</v>
      </c>
      <c r="M10" s="11">
        <v>0</v>
      </c>
      <c r="N10" s="11" t="s">
        <v>13</v>
      </c>
      <c r="O10" s="11"/>
      <c r="P10" s="11"/>
      <c r="Q10" s="11"/>
      <c r="R10" s="11"/>
      <c r="S10" s="11"/>
      <c r="T10" s="11"/>
      <c r="U10" s="11"/>
      <c r="V10" s="11"/>
      <c r="W10" s="3" t="s">
        <v>11</v>
      </c>
      <c r="X10" s="3" t="s">
        <v>15</v>
      </c>
      <c r="Y10" s="3" t="s">
        <v>7</v>
      </c>
      <c r="Z10" s="11">
        <v>1</v>
      </c>
      <c r="AA10" s="12">
        <v>10000</v>
      </c>
      <c r="AB10" s="13" t="e">
        <f>IF(AND(Table6[[#This Row],[Column26]]&lt;&gt;"",Table6[[#This Row],[Column27]]&lt;&gt;""),ROUND(Table6[[#This Row],[Column26]]*Table6[[#This Row],[Column27]], SUMIF(#REF!,Table6[[#This Row],[Column12]],#REF!)),"")</f>
        <v>#REF!</v>
      </c>
      <c r="AD10" s="13" t="e">
        <f>IF(AND(Table6[[#This Row],[Column28]]&lt;&gt;"",Table6[[#This Row],[Column29]]&lt;&gt;""),ROUND(Table6[[#This Row],[Column28]]*Table6[[#This Row],[Column29]]/100,SUMIF(#REF!,Table6[[#This Row],[Column12]],#REF!)),"")</f>
        <v>#REF!</v>
      </c>
      <c r="AE10" s="14" t="e">
        <f>IF(AND(Table6[[#This Row],[Column28]]&lt;&gt;"",Table6[[#This Row],[Column30]]&lt;&gt;""),Table6[[#This Row],[Column28]]-Table6[[#This Row],[Column30]],Table6[[#This Row],[Column28]])</f>
        <v>#REF!</v>
      </c>
      <c r="AF10" s="15" t="s">
        <v>9</v>
      </c>
      <c r="AG10" s="14" t="e">
        <f>IF(ISBLANK(Table6[[#This Row],[Column32]]),"",IF(OR(SUMIF(#REF!,Table6[[#This Row],[Column32]],#REF!)=-1, SUMIF(#REF!,Table6[[#This Row],[Column32]],#REF!)=-2), 0,ROUND(SUMIF(#REF!,Table6[[#This Row],[Column32]],#REF!)*Table6[[#This Row],[Column31]]/100,SUMIF(#REF!,Table6[[#This Row],[Column12]],#REF!))))</f>
        <v>#REF!</v>
      </c>
      <c r="AH10" s="14" t="e">
        <f>IF(OR(Table6[[#This Row],[Column31]]="",Table6[[#This Row],[Column33]]=""),"",Table6[[#This Row],[Column31]]+Table6[[#This Row],[Column33]])</f>
        <v>#REF!</v>
      </c>
      <c r="AI10" s="11" t="s">
        <v>12</v>
      </c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27"/>
      <c r="AY10" s="27"/>
      <c r="AZ10" s="27"/>
      <c r="BA10" s="27"/>
      <c r="BB10" s="27"/>
      <c r="BC10" s="27"/>
      <c r="BD10" s="27"/>
      <c r="BE10" s="25"/>
      <c r="BF10" s="25"/>
      <c r="BG10" s="25"/>
      <c r="BH10" s="25"/>
      <c r="BI10" s="25"/>
    </row>
    <row r="11" spans="1:61" s="3" customFormat="1" ht="17.5" x14ac:dyDescent="0.45">
      <c r="A11" s="3">
        <v>1</v>
      </c>
      <c r="B11" s="17">
        <f ca="1">NOW()</f>
        <v>45970.544245023149</v>
      </c>
      <c r="C11" s="3">
        <v>12312</v>
      </c>
      <c r="D11" s="3" t="s">
        <v>1</v>
      </c>
      <c r="E11" s="3" t="s">
        <v>2</v>
      </c>
      <c r="G11" s="3" t="s">
        <v>3</v>
      </c>
      <c r="H11" s="10" t="s">
        <v>10</v>
      </c>
      <c r="I11" s="3" t="s">
        <v>8</v>
      </c>
      <c r="J11" s="3">
        <v>12345</v>
      </c>
      <c r="K11" s="3" t="s">
        <v>4</v>
      </c>
      <c r="L11" s="16" t="s">
        <v>0</v>
      </c>
      <c r="M11" s="11">
        <v>0</v>
      </c>
      <c r="N11" s="11" t="s">
        <v>13</v>
      </c>
      <c r="O11" s="11"/>
      <c r="P11" s="11"/>
      <c r="Q11" s="11"/>
      <c r="R11" s="11"/>
      <c r="S11" s="11"/>
      <c r="T11" s="11"/>
      <c r="U11" s="11"/>
      <c r="V11" s="11"/>
      <c r="W11" s="3" t="s">
        <v>11</v>
      </c>
      <c r="X11" s="3" t="s">
        <v>16</v>
      </c>
      <c r="Y11" s="3" t="s">
        <v>7</v>
      </c>
      <c r="Z11" s="11">
        <v>1</v>
      </c>
      <c r="AA11" s="12">
        <v>5000</v>
      </c>
      <c r="AB11" s="13" t="e">
        <f>IF(AND(Table6[[#This Row],[Column26]]&lt;&gt;"",Table6[[#This Row],[Column27]]&lt;&gt;""),ROUND(Table6[[#This Row],[Column26]]*Table6[[#This Row],[Column27]], SUMIF(#REF!,Table6[[#This Row],[Column12]],#REF!)),"")</f>
        <v>#REF!</v>
      </c>
      <c r="AD11" s="13" t="e">
        <f>IF(AND(Table6[[#This Row],[Column28]]&lt;&gt;"",Table6[[#This Row],[Column29]]&lt;&gt;""),ROUND(Table6[[#This Row],[Column28]]*Table6[[#This Row],[Column29]]/100,SUMIF(#REF!,Table6[[#This Row],[Column12]],#REF!)),"")</f>
        <v>#REF!</v>
      </c>
      <c r="AE11" s="14" t="e">
        <f>IF(AND(Table6[[#This Row],[Column28]]&lt;&gt;"",Table6[[#This Row],[Column30]]&lt;&gt;""),Table6[[#This Row],[Column28]]-Table6[[#This Row],[Column30]],Table6[[#This Row],[Column28]])</f>
        <v>#REF!</v>
      </c>
      <c r="AF11" s="15" t="s">
        <v>9</v>
      </c>
      <c r="AG11" s="14" t="e">
        <f>IF(ISBLANK(Table6[[#This Row],[Column32]]),"",IF(OR(SUMIF(#REF!,Table6[[#This Row],[Column32]],#REF!)=-1, SUMIF(#REF!,Table6[[#This Row],[Column32]],#REF!)=-2), 0,ROUND(SUMIF(#REF!,Table6[[#This Row],[Column32]],#REF!)*Table6[[#This Row],[Column31]]/100,SUMIF(#REF!,Table6[[#This Row],[Column12]],#REF!))))</f>
        <v>#REF!</v>
      </c>
      <c r="AH11" s="14" t="e">
        <f>IF(OR(Table6[[#This Row],[Column31]]="",Table6[[#This Row],[Column33]]=""),"",Table6[[#This Row],[Column31]]+Table6[[#This Row],[Column33]])</f>
        <v>#REF!</v>
      </c>
      <c r="AI11" s="11" t="s">
        <v>12</v>
      </c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27"/>
      <c r="AY11" s="27"/>
      <c r="AZ11" s="27"/>
      <c r="BA11" s="27"/>
      <c r="BB11" s="27"/>
      <c r="BC11" s="27"/>
      <c r="BD11" s="27"/>
      <c r="BE11" s="25"/>
      <c r="BF11" s="25"/>
      <c r="BG11" s="25"/>
      <c r="BH11" s="25"/>
      <c r="BI11" s="25"/>
    </row>
    <row r="12" spans="1:61" s="3" customFormat="1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</row>
    <row r="13" spans="1:61" s="3" customFormat="1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</row>
    <row r="14" spans="1:61" s="3" customFormat="1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</row>
    <row r="15" spans="1:61" s="3" customFormat="1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</row>
    <row r="16" spans="1:61" s="3" customFormat="1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</row>
    <row r="17" spans="1:54" s="3" customFormat="1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</row>
    <row r="18" spans="1:54" s="3" customFormat="1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</row>
    <row r="19" spans="1:54" s="3" customFormat="1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</row>
    <row r="20" spans="1:54" s="3" customFormat="1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</row>
    <row r="21" spans="1:54" s="3" customFormat="1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</row>
    <row r="22" spans="1:54" s="3" customFormat="1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</row>
    <row r="23" spans="1:54" s="3" customFormat="1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</row>
    <row r="24" spans="1:54" s="3" customFormat="1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</row>
    <row r="25" spans="1:54" s="3" customFormat="1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</row>
    <row r="26" spans="1:54" s="3" customFormat="1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</row>
    <row r="27" spans="1:54" s="3" customFormat="1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</row>
    <row r="28" spans="1:54" s="3" customFormat="1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</row>
    <row r="29" spans="1:54" s="3" customFormat="1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</row>
    <row r="30" spans="1:54" s="3" customFormat="1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</row>
  </sheetData>
  <dataConsolidate/>
  <mergeCells count="4">
    <mergeCell ref="P2:X2"/>
    <mergeCell ref="A2:G2"/>
    <mergeCell ref="A1:G1"/>
    <mergeCell ref="A3:G4"/>
  </mergeCells>
  <phoneticPr fontId="6" type="noConversion"/>
  <dataValidations xWindow="599" yWindow="934" count="11">
    <dataValidation type="decimal" operator="notEqual" allowBlank="1" showInputMessage="1" showErrorMessage="1" errorTitle="Phát hiện lỗi" error="Nhập giá trị số khác 0 vào ô này." sqref="L1:O3 Z5:AD5 K1:K2 Z1:AD1" xr:uid="{00000000-0002-0000-0000-000000000000}">
      <formula1>0</formula1>
    </dataValidation>
    <dataValidation type="textLength" operator="lessThan" allowBlank="1" showInputMessage="1" showErrorMessage="1" errorTitle="Phát hiện lỗi" error="Nhập dãy 15 chữ số vào ô này." sqref="F8:F11 K1:K3 F5" xr:uid="{00000000-0002-0000-0000-000001000000}">
      <formula1>15</formula1>
    </dataValidation>
    <dataValidation type="custom" allowBlank="1" showInputMessage="1" showErrorMessage="1" errorTitle="Phát hiện lỗi" error="Nhập văn bản định dạng địa chỉ email vào ô này." sqref="H8:H11" xr:uid="{00000000-0002-0000-0000-000002000000}">
      <formula1>ISNUMBER(MATCH("*@*.?*",H8,0))</formula1>
    </dataValidation>
    <dataValidation allowBlank="1" errorTitle="Phát hiện lỗi" error="Giá trị nhập vào không nằm trong danh sách giá trị của cột này." promptTitle="Lưu ý" prompt="Đây là cột lựa chọn giá trị cho sẵn" sqref="Y8:Y11" xr:uid="{00000000-0002-0000-0000-000003000000}"/>
    <dataValidation type="textLength" allowBlank="1" showInputMessage="1" showErrorMessage="1" sqref="X8:X11 AX8" xr:uid="{00000000-0002-0000-0000-000004000000}">
      <formula1>0</formula1>
      <formula2>500</formula2>
    </dataValidation>
    <dataValidation type="decimal" operator="greaterThanOrEqual" allowBlank="1" showInputMessage="1" showErrorMessage="1" errorTitle="Phát hiện lỗi" error="Nhập giá trị số lớn hơn hoặc bằng 0 vào ô này." prompt="Nhập giá trị số lớn hơn hoặc bằng 0 vào ô này." sqref="AA8:AA11" xr:uid="{00000000-0002-0000-0000-000005000000}">
      <formula1>0</formula1>
    </dataValidation>
    <dataValidation type="decimal" operator="greaterThan" allowBlank="1" showInputMessage="1" showErrorMessage="1" errorTitle="Phát hiện lỗi" error="Nhập giá trị số lớn hơn 0 vào ô này." prompt="Nhập giá trị số lớn hơn 0 vào ô này." sqref="Z8:Z11" xr:uid="{00000000-0002-0000-0000-000006000000}">
      <formula1>0</formula1>
    </dataValidation>
    <dataValidation type="decimal" allowBlank="1" showInputMessage="1" showErrorMessage="1" error="Nhập giá trị số từ 0 đến 100 vào ô này." prompt="Nhập giá trị số từ 0 đến 100 vào ô này." sqref="AC8:AC11" xr:uid="{00000000-0002-0000-0000-000007000000}">
      <formula1>0</formula1>
      <formula2>100</formula2>
    </dataValidation>
    <dataValidation operator="greaterThanOrEqual" allowBlank="1" showInputMessage="1" showErrorMessage="1" errorTitle="Phát hiện lỗi" sqref="AD8:AD11" xr:uid="{00000000-0002-0000-0000-000008000000}"/>
    <dataValidation operator="greaterThanOrEqual" allowBlank="1" errorTitle="Phát hiện lỗi" sqref="AB8:AB11" xr:uid="{00000000-0002-0000-0000-000009000000}"/>
    <dataValidation allowBlank="1" showErrorMessage="1" sqref="AB7" xr:uid="{56FA8E19-FF81-486A-8379-876ACCE49C88}"/>
  </dataValidations>
  <hyperlinks>
    <hyperlink ref="H8" r:id="rId1" xr:uid="{00000000-0004-0000-0000-000000000000}"/>
    <hyperlink ref="H9" r:id="rId2" xr:uid="{45FD785C-A882-4316-9CDB-4EE85B8EEFE8}"/>
    <hyperlink ref="H10" r:id="rId3" xr:uid="{11FE274B-C0EA-4243-A7D9-DA4FB04CC23A}"/>
    <hyperlink ref="H11" r:id="rId4" xr:uid="{D4DA7EA4-FD5A-4084-86D4-E4F30FCE4C37}"/>
  </hyperlinks>
  <pageMargins left="0.7" right="0.7" top="0.75" bottom="0.75" header="0.3" footer="0.3"/>
  <pageSetup orientation="portrait" r:id="rId5"/>
  <tableParts count="1">
    <tablePart r:id="rId6"/>
  </tableParts>
  <extLst>
    <ext xmlns:x14="http://schemas.microsoft.com/office/spreadsheetml/2009/9/main" uri="{CCE6A557-97BC-4b89-ADB6-D9C93CAAB3DF}">
      <x14:dataValidations xmlns:xm="http://schemas.microsoft.com/office/excel/2006/main" xWindow="599" yWindow="934" count="4">
        <x14:dataValidation type="list" allowBlank="1" showInputMessage="1" showErrorMessage="1" errorTitle="Phát hiện lỗi" error="Giá trị nhập vào không nằm trong danh sách giá trị của cột này." promptTitle="Lưu ý" prompt="Đây là cột lựa chọn giá trị cho sẵn" xr:uid="{00000000-0002-0000-0000-00000B000000}">
          <x14:formula1>
            <xm:f>#REF!</xm:f>
          </x14:formula1>
          <xm:sqref>I8:I11</xm:sqref>
        </x14:dataValidation>
        <x14:dataValidation type="list" allowBlank="1" showInputMessage="1" showErrorMessage="1" errorTitle="Phát hiện lỗi" error="Giá trị nhập vào không nằm trong danh sách giá trị của cột này." promptTitle="Lưu ý" prompt="Đây là cột lựa chọn giá trị cho sẵn" xr:uid="{00000000-0002-0000-0000-00000C000000}">
          <x14:formula1>
            <xm:f>#REF!</xm:f>
          </x14:formula1>
          <xm:sqref>L8:L11</xm:sqref>
        </x14:dataValidation>
        <x14:dataValidation type="list" allowBlank="1" showInputMessage="1" showErrorMessage="1" errorTitle="Phát hiện lỗi" error="Giá trị nhập vào không nằm trong danh sách giá trị của cột này." promptTitle="Lưu ý" prompt="Đây là cột lựa chọn giá trị cho sẵn" xr:uid="{00000000-0002-0000-0000-00000D000000}">
          <x14:formula1>
            <xm:f>#REF!</xm:f>
          </x14:formula1>
          <xm:sqref>AF8:AF11</xm:sqref>
        </x14:dataValidation>
        <x14:dataValidation type="list" operator="greaterThanOrEqual" allowBlank="1" showInputMessage="1" showErrorMessage="1" errorTitle="Phát hiện lỗi" error="Nhập giá trị số lớn hơn hoặc bằng 0 vào ô này." promptTitle="Lưu ý" prompt="Đây là cột lựa chọn giá trị cho sẵn" xr:uid="{BDE5AD1E-1091-46B9-90CD-88F945557125}">
          <x14:formula1>
            <xm:f>#REF!</xm:f>
          </x14:formula1>
          <xm:sqref>AI1:AI1048576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C7963C64C60C41A73EC28821906589" ma:contentTypeVersion="9" ma:contentTypeDescription="Create a new document." ma:contentTypeScope="" ma:versionID="c97af9d142547abe3faae82c65b60a3a">
  <xsd:schema xmlns:xsd="http://www.w3.org/2001/XMLSchema" xmlns:xs="http://www.w3.org/2001/XMLSchema" xmlns:p="http://schemas.microsoft.com/office/2006/metadata/properties" xmlns:ns3="41153923-12f5-441e-a8c4-0c2bc0881a4b" xmlns:ns4="e548e56a-85ae-4c26-b66c-4c3927d22589" targetNamespace="http://schemas.microsoft.com/office/2006/metadata/properties" ma:root="true" ma:fieldsID="fd651ac2c3f789e3c59a48a58f263633" ns3:_="" ns4:_="">
    <xsd:import namespace="41153923-12f5-441e-a8c4-0c2bc0881a4b"/>
    <xsd:import namespace="e548e56a-85ae-4c26-b66c-4c3927d2258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53923-12f5-441e-a8c4-0c2bc0881a4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8e56a-85ae-4c26-b66c-4c3927d225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2055CC-5FB6-44D2-83D1-7F27929C73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153923-12f5-441e-a8c4-0c2bc0881a4b"/>
    <ds:schemaRef ds:uri="e548e56a-85ae-4c26-b66c-4c3927d225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002DCA-69F5-49D8-9443-0670598BB99B}">
  <ds:schemaRefs>
    <ds:schemaRef ds:uri="e548e56a-85ae-4c26-b66c-4c3927d22589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41153923-12f5-441e-a8c4-0c2bc0881a4b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56BAA0D-6199-404B-B677-621C4EEF67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nhập liệu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phuochtt</dc:creator>
  <cp:lastModifiedBy>Ng Anh Quế</cp:lastModifiedBy>
  <dcterms:created xsi:type="dcterms:W3CDTF">2019-09-05T04:29:24Z</dcterms:created>
  <dcterms:modified xsi:type="dcterms:W3CDTF">2025-11-09T06:04:30Z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0x0101006AC7963C64C60C41A73EC28821906589</vt:lpwstr>
  </property>
</Properties>
</file>